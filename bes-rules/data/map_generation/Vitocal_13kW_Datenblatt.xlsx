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filterPrivacy="1"/>
  <xr:revisionPtr revIDLastSave="0" documentId="13_ncr:1_{15389D79-C2CD-47E7-8E60-9C6D3BB8455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S8" i="1" l="1"/>
  <c r="AT8" i="1"/>
  <c r="AU8" i="1"/>
  <c r="AV8" i="1"/>
  <c r="AW8" i="1"/>
  <c r="AX8" i="1"/>
  <c r="AY8" i="1"/>
  <c r="AR8" i="1"/>
  <c r="AH8" i="1"/>
  <c r="AI8" i="1"/>
  <c r="AJ8" i="1"/>
  <c r="AK8" i="1"/>
  <c r="AL8" i="1"/>
  <c r="AM8" i="1"/>
  <c r="AN8" i="1"/>
  <c r="AO8" i="1"/>
  <c r="AG8" i="1"/>
  <c r="AY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G10" i="1"/>
  <c r="AH10" i="1"/>
  <c r="AI10" i="1"/>
  <c r="AJ10" i="1"/>
  <c r="AK10" i="1"/>
  <c r="AL10" i="1"/>
  <c r="AM10" i="1"/>
  <c r="AN10" i="1"/>
  <c r="AO10" i="1"/>
  <c r="AR10" i="1"/>
  <c r="AS10" i="1"/>
  <c r="AT10" i="1"/>
  <c r="AU10" i="1"/>
  <c r="AV10" i="1"/>
  <c r="AW10" i="1"/>
  <c r="AX10" i="1"/>
  <c r="C10" i="1"/>
  <c r="D10" i="1"/>
  <c r="B10" i="1"/>
  <c r="W8" i="1"/>
  <c r="X8" i="1"/>
  <c r="Y8" i="1"/>
  <c r="Z8" i="1"/>
  <c r="AA8" i="1"/>
  <c r="AB8" i="1"/>
  <c r="AC8" i="1"/>
  <c r="AD8" i="1"/>
  <c r="AE8" i="1"/>
  <c r="V8" i="1"/>
  <c r="M8" i="1"/>
  <c r="N8" i="1"/>
  <c r="O8" i="1"/>
  <c r="P8" i="1"/>
  <c r="Q8" i="1"/>
  <c r="R8" i="1"/>
  <c r="S8" i="1"/>
  <c r="T8" i="1"/>
  <c r="U8" i="1"/>
  <c r="L8" i="1"/>
  <c r="K8" i="1"/>
  <c r="C8" i="1"/>
  <c r="D8" i="1"/>
  <c r="E8" i="1"/>
  <c r="F8" i="1"/>
  <c r="G8" i="1"/>
  <c r="H8" i="1"/>
  <c r="I8" i="1"/>
  <c r="J8" i="1"/>
  <c r="B8" i="1"/>
</calcChain>
</file>

<file path=xl/sharedStrings.xml><?xml version="1.0" encoding="utf-8"?>
<sst xmlns="http://schemas.openxmlformats.org/spreadsheetml/2006/main" count="11" uniqueCount="11">
  <si>
    <t>T_eva_in</t>
  </si>
  <si>
    <t>COP</t>
  </si>
  <si>
    <t>Q_max</t>
  </si>
  <si>
    <t>Q_min</t>
  </si>
  <si>
    <t>m_flow_eva</t>
  </si>
  <si>
    <t>m_flow_con</t>
  </si>
  <si>
    <t>T_con_out</t>
  </si>
  <si>
    <t>Q_nom</t>
  </si>
  <si>
    <t>Q_min/Q_max</t>
  </si>
  <si>
    <t>n_min</t>
  </si>
  <si>
    <t>n_max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</si>
</sst>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Fill="1"/>
    <xf numFmtId="0" fontId="0" fillId="3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2"/>
  <sheetViews>
    <sheetView tabSelected="1" zoomScaleNormal="100" workbookViewId="0">
      <pane xSplit="1" topLeftCell="AA1" activePane="topRight" state="frozen"/>
      <selection pane="topRight" activeCell="AY8" sqref="AY8"/>
    </sheetView>
  </sheetViews>
  <sheetFormatPr baseColWidth="10" defaultColWidth="9.1796875" defaultRowHeight="14.5" x14ac:dyDescent="0.35"/>
  <cols>
    <col min="1" max="1" width="17.81640625" bestFit="1" customWidth="1"/>
  </cols>
  <sheetData>
    <row r="1" spans="1:51" x14ac:dyDescent="0.35"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 s="2">
        <v>9</v>
      </c>
      <c r="L1" s="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 s="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 s="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 s="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</row>
    <row r="2" spans="1:51" x14ac:dyDescent="0.35">
      <c r="A2" t="s">
        <v>6</v>
      </c>
      <c r="B2">
        <v>35</v>
      </c>
      <c r="C2">
        <v>35</v>
      </c>
      <c r="D2">
        <v>35</v>
      </c>
      <c r="E2">
        <v>35</v>
      </c>
      <c r="F2">
        <v>35</v>
      </c>
      <c r="G2">
        <v>35</v>
      </c>
      <c r="H2">
        <v>35</v>
      </c>
      <c r="I2">
        <v>35</v>
      </c>
      <c r="J2">
        <v>35</v>
      </c>
      <c r="K2" s="2">
        <v>35</v>
      </c>
      <c r="L2" s="1">
        <v>45</v>
      </c>
      <c r="M2">
        <v>45</v>
      </c>
      <c r="N2">
        <v>45</v>
      </c>
      <c r="O2">
        <v>45</v>
      </c>
      <c r="P2">
        <v>45</v>
      </c>
      <c r="Q2">
        <v>45</v>
      </c>
      <c r="R2">
        <v>45</v>
      </c>
      <c r="S2">
        <v>45</v>
      </c>
      <c r="T2">
        <v>45</v>
      </c>
      <c r="U2">
        <v>45</v>
      </c>
      <c r="V2" s="1">
        <v>55</v>
      </c>
      <c r="W2">
        <v>55</v>
      </c>
      <c r="X2">
        <v>55</v>
      </c>
      <c r="Y2">
        <v>55</v>
      </c>
      <c r="Z2">
        <v>55</v>
      </c>
      <c r="AA2">
        <v>55</v>
      </c>
      <c r="AB2">
        <v>55</v>
      </c>
      <c r="AC2">
        <v>55</v>
      </c>
      <c r="AD2">
        <v>55</v>
      </c>
      <c r="AE2">
        <v>55</v>
      </c>
      <c r="AF2" s="1">
        <v>65</v>
      </c>
      <c r="AG2">
        <v>65</v>
      </c>
      <c r="AH2">
        <v>65</v>
      </c>
      <c r="AI2">
        <v>65</v>
      </c>
      <c r="AJ2">
        <v>65</v>
      </c>
      <c r="AK2">
        <v>65</v>
      </c>
      <c r="AL2">
        <v>65</v>
      </c>
      <c r="AM2">
        <v>65</v>
      </c>
      <c r="AN2">
        <v>65</v>
      </c>
      <c r="AO2">
        <v>65</v>
      </c>
      <c r="AP2" s="1">
        <v>70</v>
      </c>
      <c r="AQ2">
        <v>70</v>
      </c>
      <c r="AR2">
        <v>70</v>
      </c>
      <c r="AS2">
        <v>70</v>
      </c>
      <c r="AT2">
        <v>70</v>
      </c>
      <c r="AU2">
        <v>70</v>
      </c>
      <c r="AV2">
        <v>70</v>
      </c>
      <c r="AW2">
        <v>70</v>
      </c>
      <c r="AX2">
        <v>70</v>
      </c>
      <c r="AY2">
        <v>70</v>
      </c>
    </row>
    <row r="3" spans="1:51" x14ac:dyDescent="0.35">
      <c r="A3" t="s">
        <v>0</v>
      </c>
      <c r="B3">
        <v>-20</v>
      </c>
      <c r="C3">
        <v>-15</v>
      </c>
      <c r="D3">
        <v>-10</v>
      </c>
      <c r="E3">
        <v>-7</v>
      </c>
      <c r="F3">
        <v>2</v>
      </c>
      <c r="G3">
        <v>7</v>
      </c>
      <c r="H3">
        <v>10</v>
      </c>
      <c r="I3">
        <v>20</v>
      </c>
      <c r="J3">
        <v>30</v>
      </c>
      <c r="K3" s="2">
        <v>35</v>
      </c>
      <c r="L3" s="1">
        <v>-20</v>
      </c>
      <c r="M3">
        <v>-15</v>
      </c>
      <c r="N3">
        <v>-10</v>
      </c>
      <c r="O3">
        <v>-7</v>
      </c>
      <c r="P3">
        <v>2</v>
      </c>
      <c r="Q3">
        <v>7</v>
      </c>
      <c r="R3">
        <v>10</v>
      </c>
      <c r="S3">
        <v>20</v>
      </c>
      <c r="T3">
        <v>30</v>
      </c>
      <c r="U3">
        <v>35</v>
      </c>
      <c r="V3" s="1">
        <v>-20</v>
      </c>
      <c r="W3">
        <v>-15</v>
      </c>
      <c r="X3">
        <v>-10</v>
      </c>
      <c r="Y3">
        <v>-7</v>
      </c>
      <c r="Z3">
        <v>2</v>
      </c>
      <c r="AA3">
        <v>7</v>
      </c>
      <c r="AB3">
        <v>10</v>
      </c>
      <c r="AC3">
        <v>20</v>
      </c>
      <c r="AD3">
        <v>30</v>
      </c>
      <c r="AE3">
        <v>35</v>
      </c>
      <c r="AF3" s="1">
        <v>-20</v>
      </c>
      <c r="AG3">
        <v>-15</v>
      </c>
      <c r="AH3">
        <v>-10</v>
      </c>
      <c r="AI3">
        <v>-7</v>
      </c>
      <c r="AJ3">
        <v>2</v>
      </c>
      <c r="AK3">
        <v>7</v>
      </c>
      <c r="AL3">
        <v>10</v>
      </c>
      <c r="AM3">
        <v>20</v>
      </c>
      <c r="AN3">
        <v>30</v>
      </c>
      <c r="AO3">
        <v>35</v>
      </c>
      <c r="AP3" s="1">
        <v>-20</v>
      </c>
      <c r="AQ3">
        <v>-15</v>
      </c>
      <c r="AR3">
        <v>-10</v>
      </c>
      <c r="AS3">
        <v>-7</v>
      </c>
      <c r="AT3">
        <v>2</v>
      </c>
      <c r="AU3">
        <v>7</v>
      </c>
      <c r="AV3">
        <v>10</v>
      </c>
      <c r="AW3">
        <v>20</v>
      </c>
      <c r="AX3">
        <v>30</v>
      </c>
      <c r="AY3">
        <v>35</v>
      </c>
    </row>
    <row r="4" spans="1:51" x14ac:dyDescent="0.35">
      <c r="A4" t="s">
        <v>2</v>
      </c>
      <c r="B4">
        <v>7.77</v>
      </c>
      <c r="C4">
        <v>8.9</v>
      </c>
      <c r="D4">
        <v>10.3</v>
      </c>
      <c r="E4">
        <v>11.13</v>
      </c>
      <c r="F4">
        <v>12.34</v>
      </c>
      <c r="G4">
        <v>13.4</v>
      </c>
      <c r="H4">
        <v>17.2</v>
      </c>
      <c r="I4">
        <v>22.63</v>
      </c>
      <c r="J4">
        <v>23.34</v>
      </c>
      <c r="K4">
        <v>23.34</v>
      </c>
      <c r="L4">
        <v>7.32</v>
      </c>
      <c r="M4">
        <v>8.44</v>
      </c>
      <c r="N4">
        <v>9.82</v>
      </c>
      <c r="O4">
        <v>10.66</v>
      </c>
      <c r="P4">
        <v>12.1</v>
      </c>
      <c r="Q4">
        <v>13.18</v>
      </c>
      <c r="R4">
        <v>16.600000000000001</v>
      </c>
      <c r="S4">
        <v>22.03</v>
      </c>
      <c r="T4">
        <v>23.65</v>
      </c>
      <c r="U4">
        <v>24.24</v>
      </c>
      <c r="V4">
        <v>7</v>
      </c>
      <c r="W4">
        <v>8.2899999999999991</v>
      </c>
      <c r="X4">
        <v>9.74</v>
      </c>
      <c r="Y4">
        <v>10.6</v>
      </c>
      <c r="Z4">
        <v>12.28</v>
      </c>
      <c r="AA4">
        <v>13.33</v>
      </c>
      <c r="AB4">
        <v>17.27</v>
      </c>
      <c r="AC4">
        <v>20.65</v>
      </c>
      <c r="AD4">
        <v>22.88</v>
      </c>
      <c r="AE4">
        <v>23.2</v>
      </c>
      <c r="AF4" s="3"/>
      <c r="AG4">
        <v>6.12</v>
      </c>
      <c r="AH4">
        <v>7.99</v>
      </c>
      <c r="AI4">
        <v>9.11</v>
      </c>
      <c r="AJ4">
        <v>12.16</v>
      </c>
      <c r="AK4">
        <v>12.77</v>
      </c>
      <c r="AL4">
        <v>15.78</v>
      </c>
      <c r="AM4">
        <v>19.25</v>
      </c>
      <c r="AN4">
        <v>22.01</v>
      </c>
      <c r="AO4">
        <v>22.03</v>
      </c>
      <c r="AP4" s="3"/>
      <c r="AQ4" s="3"/>
      <c r="AR4">
        <v>5.96</v>
      </c>
      <c r="AS4">
        <v>6.93</v>
      </c>
      <c r="AT4">
        <v>9.83</v>
      </c>
      <c r="AU4">
        <v>11.78</v>
      </c>
      <c r="AV4">
        <v>14.76</v>
      </c>
      <c r="AW4">
        <v>17.829999999999998</v>
      </c>
      <c r="AX4">
        <v>21.74</v>
      </c>
      <c r="AY4">
        <v>21.78</v>
      </c>
    </row>
    <row r="5" spans="1:51" x14ac:dyDescent="0.35">
      <c r="A5" t="s">
        <v>7</v>
      </c>
      <c r="B5">
        <v>7.77</v>
      </c>
      <c r="C5">
        <v>8.9</v>
      </c>
      <c r="D5">
        <v>10.3</v>
      </c>
      <c r="E5">
        <v>11.13</v>
      </c>
      <c r="F5">
        <v>6.7</v>
      </c>
      <c r="G5">
        <v>8.1300000000000008</v>
      </c>
      <c r="H5">
        <v>8.82</v>
      </c>
      <c r="I5">
        <v>11.65</v>
      </c>
      <c r="J5">
        <v>11.95</v>
      </c>
      <c r="K5">
        <v>11.95</v>
      </c>
      <c r="L5">
        <v>7.32</v>
      </c>
      <c r="M5">
        <v>8.44</v>
      </c>
      <c r="N5">
        <v>9.82</v>
      </c>
      <c r="O5">
        <v>10.66</v>
      </c>
      <c r="P5">
        <v>6.48</v>
      </c>
      <c r="Q5">
        <v>7.75</v>
      </c>
      <c r="R5">
        <v>8.33</v>
      </c>
      <c r="S5">
        <v>11.07</v>
      </c>
      <c r="T5">
        <v>14.37</v>
      </c>
      <c r="U5">
        <v>14.37</v>
      </c>
      <c r="V5">
        <v>7</v>
      </c>
      <c r="W5">
        <v>8.2899999999999991</v>
      </c>
      <c r="X5">
        <v>9.74</v>
      </c>
      <c r="Y5">
        <v>10.6</v>
      </c>
      <c r="Z5">
        <v>6.37</v>
      </c>
      <c r="AA5">
        <v>7.56</v>
      </c>
      <c r="AB5">
        <v>8.2799999999999994</v>
      </c>
      <c r="AC5">
        <v>11.16</v>
      </c>
      <c r="AD5">
        <v>14.46</v>
      </c>
      <c r="AE5">
        <v>14.46</v>
      </c>
      <c r="AF5" s="3"/>
      <c r="AG5">
        <v>6.12</v>
      </c>
      <c r="AH5">
        <v>7.99</v>
      </c>
      <c r="AI5">
        <v>9.11</v>
      </c>
      <c r="AJ5">
        <v>6.28</v>
      </c>
      <c r="AK5">
        <v>7.61</v>
      </c>
      <c r="AL5">
        <v>8.3000000000000007</v>
      </c>
      <c r="AM5">
        <v>10.97</v>
      </c>
      <c r="AN5">
        <v>14.03</v>
      </c>
      <c r="AO5">
        <v>14.03</v>
      </c>
      <c r="AP5" s="3"/>
      <c r="AQ5" s="3"/>
      <c r="AR5">
        <v>5.96</v>
      </c>
      <c r="AS5">
        <v>6.93</v>
      </c>
      <c r="AT5">
        <v>6.25</v>
      </c>
      <c r="AU5">
        <v>7.58</v>
      </c>
      <c r="AV5">
        <v>8.27</v>
      </c>
      <c r="AW5">
        <v>10.9</v>
      </c>
      <c r="AX5">
        <v>13.9</v>
      </c>
      <c r="AY5">
        <v>13.9</v>
      </c>
    </row>
    <row r="6" spans="1:51" x14ac:dyDescent="0.35">
      <c r="A6" t="s">
        <v>3</v>
      </c>
      <c r="B6">
        <v>3.22</v>
      </c>
      <c r="C6">
        <v>3.27</v>
      </c>
      <c r="D6">
        <v>2.99</v>
      </c>
      <c r="E6">
        <v>2.82</v>
      </c>
      <c r="F6">
        <v>2.6</v>
      </c>
      <c r="G6">
        <v>3</v>
      </c>
      <c r="H6">
        <v>3.35</v>
      </c>
      <c r="I6">
        <v>4.0199999999999996</v>
      </c>
      <c r="J6">
        <v>4.0199999999999996</v>
      </c>
      <c r="K6">
        <v>4.0199999999999996</v>
      </c>
      <c r="L6">
        <v>3.12</v>
      </c>
      <c r="M6">
        <v>3.17</v>
      </c>
      <c r="N6">
        <v>2.89</v>
      </c>
      <c r="O6">
        <v>2.72</v>
      </c>
      <c r="P6">
        <v>2.64</v>
      </c>
      <c r="Q6">
        <v>3.01</v>
      </c>
      <c r="R6">
        <v>3.25</v>
      </c>
      <c r="S6">
        <v>3.92</v>
      </c>
      <c r="T6">
        <v>4.5199999999999996</v>
      </c>
      <c r="U6">
        <v>4.5199999999999996</v>
      </c>
      <c r="V6">
        <v>2.7</v>
      </c>
      <c r="W6">
        <v>2.74</v>
      </c>
      <c r="X6">
        <v>2.48</v>
      </c>
      <c r="Y6">
        <v>2.3199999999999998</v>
      </c>
      <c r="Z6">
        <v>3.03</v>
      </c>
      <c r="AA6">
        <v>3.51</v>
      </c>
      <c r="AB6">
        <v>3.84</v>
      </c>
      <c r="AC6">
        <v>5.07</v>
      </c>
      <c r="AD6">
        <v>6.1</v>
      </c>
      <c r="AE6">
        <v>6.1</v>
      </c>
      <c r="AF6">
        <v>0</v>
      </c>
      <c r="AG6">
        <v>2.67</v>
      </c>
      <c r="AH6">
        <v>2.83</v>
      </c>
      <c r="AI6">
        <v>2.93</v>
      </c>
      <c r="AJ6">
        <v>3.85</v>
      </c>
      <c r="AK6">
        <v>4.5999999999999996</v>
      </c>
      <c r="AL6">
        <v>5.05</v>
      </c>
      <c r="AM6">
        <v>6.81</v>
      </c>
      <c r="AN6">
        <v>8.44</v>
      </c>
      <c r="AO6">
        <v>8.4</v>
      </c>
      <c r="AP6">
        <v>0</v>
      </c>
      <c r="AQ6">
        <v>0</v>
      </c>
      <c r="AR6">
        <v>3.15</v>
      </c>
      <c r="AS6">
        <v>3.43</v>
      </c>
      <c r="AT6">
        <v>4.57</v>
      </c>
      <c r="AU6">
        <v>5.36</v>
      </c>
      <c r="AV6">
        <v>5.88</v>
      </c>
      <c r="AW6">
        <v>7.97</v>
      </c>
      <c r="AX6">
        <v>9.48</v>
      </c>
      <c r="AY6">
        <v>9.48</v>
      </c>
    </row>
    <row r="7" spans="1:51" x14ac:dyDescent="0.35">
      <c r="A7" t="s">
        <v>1</v>
      </c>
      <c r="B7">
        <v>2.2999999999999998</v>
      </c>
      <c r="C7">
        <v>2.5299999999999998</v>
      </c>
      <c r="D7">
        <v>2.81</v>
      </c>
      <c r="E7">
        <v>2.97</v>
      </c>
      <c r="F7">
        <v>3.98</v>
      </c>
      <c r="G7">
        <v>5.21</v>
      </c>
      <c r="H7">
        <v>5.71</v>
      </c>
      <c r="I7">
        <v>8.17</v>
      </c>
      <c r="J7">
        <v>8.75</v>
      </c>
      <c r="K7">
        <v>8.75</v>
      </c>
      <c r="L7">
        <v>2</v>
      </c>
      <c r="M7">
        <v>2.2000000000000002</v>
      </c>
      <c r="N7">
        <v>2.4300000000000002</v>
      </c>
      <c r="O7">
        <v>2.56</v>
      </c>
      <c r="P7">
        <v>3.29</v>
      </c>
      <c r="Q7">
        <v>4.0999999999999996</v>
      </c>
      <c r="R7">
        <v>4.37</v>
      </c>
      <c r="S7">
        <v>5.89</v>
      </c>
      <c r="T7">
        <v>8.4600000000000009</v>
      </c>
      <c r="U7">
        <v>8.4600000000000009</v>
      </c>
      <c r="V7">
        <v>1.81</v>
      </c>
      <c r="W7">
        <v>1.98</v>
      </c>
      <c r="X7">
        <v>2.1800000000000002</v>
      </c>
      <c r="Y7">
        <v>2.2999999999999998</v>
      </c>
      <c r="Z7">
        <v>2.83</v>
      </c>
      <c r="AA7">
        <v>3.4</v>
      </c>
      <c r="AB7">
        <v>3.66</v>
      </c>
      <c r="AC7">
        <v>4.8</v>
      </c>
      <c r="AD7">
        <v>6.37</v>
      </c>
      <c r="AE7">
        <v>6.37</v>
      </c>
      <c r="AF7" s="3"/>
      <c r="AG7">
        <v>1.79</v>
      </c>
      <c r="AH7">
        <v>1.99</v>
      </c>
      <c r="AI7">
        <v>2.11</v>
      </c>
      <c r="AJ7">
        <v>2.5</v>
      </c>
      <c r="AK7">
        <v>2.83</v>
      </c>
      <c r="AL7">
        <v>3.01</v>
      </c>
      <c r="AM7">
        <v>3.74</v>
      </c>
      <c r="AN7">
        <v>4.74</v>
      </c>
      <c r="AO7">
        <v>4.74</v>
      </c>
      <c r="AP7" s="3"/>
      <c r="AQ7" s="3"/>
      <c r="AR7">
        <v>1.82</v>
      </c>
      <c r="AS7">
        <v>1.96</v>
      </c>
      <c r="AT7">
        <v>2.2599999999999998</v>
      </c>
      <c r="AU7">
        <v>2.56</v>
      </c>
      <c r="AV7">
        <v>2.71</v>
      </c>
      <c r="AW7">
        <v>3.32</v>
      </c>
      <c r="AX7">
        <v>4.12</v>
      </c>
      <c r="AY7">
        <v>4.12</v>
      </c>
    </row>
    <row r="8" spans="1:51" x14ac:dyDescent="0.35">
      <c r="A8" t="s">
        <v>5</v>
      </c>
      <c r="B8">
        <f t="shared" ref="B8:U8" si="0">B4/(4.18*5)</f>
        <v>0.3717703349282297</v>
      </c>
      <c r="C8">
        <f t="shared" si="0"/>
        <v>0.42583732057416274</v>
      </c>
      <c r="D8">
        <f t="shared" si="0"/>
        <v>0.49282296650717711</v>
      </c>
      <c r="E8">
        <f t="shared" si="0"/>
        <v>0.5325358851674642</v>
      </c>
      <c r="F8">
        <f t="shared" si="0"/>
        <v>0.59043062200956942</v>
      </c>
      <c r="G8">
        <f t="shared" si="0"/>
        <v>0.64114832535885169</v>
      </c>
      <c r="H8">
        <f t="shared" si="0"/>
        <v>0.82296650717703357</v>
      </c>
      <c r="I8">
        <f t="shared" si="0"/>
        <v>1.0827751196172248</v>
      </c>
      <c r="J8">
        <f t="shared" si="0"/>
        <v>1.1167464114832537</v>
      </c>
      <c r="K8">
        <f t="shared" si="0"/>
        <v>1.1167464114832537</v>
      </c>
      <c r="L8">
        <f t="shared" si="0"/>
        <v>0.35023923444976079</v>
      </c>
      <c r="M8">
        <f t="shared" si="0"/>
        <v>0.40382775119617226</v>
      </c>
      <c r="N8">
        <f t="shared" si="0"/>
        <v>0.46985645933014358</v>
      </c>
      <c r="O8">
        <f t="shared" si="0"/>
        <v>0.51004784688995219</v>
      </c>
      <c r="P8">
        <f t="shared" si="0"/>
        <v>0.57894736842105265</v>
      </c>
      <c r="Q8">
        <f t="shared" si="0"/>
        <v>0.63062200956937797</v>
      </c>
      <c r="R8">
        <f t="shared" si="0"/>
        <v>0.79425837320574177</v>
      </c>
      <c r="S8">
        <f t="shared" si="0"/>
        <v>1.054066985645933</v>
      </c>
      <c r="T8">
        <f t="shared" si="0"/>
        <v>1.131578947368421</v>
      </c>
      <c r="U8">
        <f t="shared" si="0"/>
        <v>1.1598086124401914</v>
      </c>
      <c r="V8">
        <f>V4/(4.18*8)</f>
        <v>0.20933014354066987</v>
      </c>
      <c r="W8">
        <f t="shared" ref="W8:AE8" si="1">W4/(4.18*8)</f>
        <v>0.2479066985645933</v>
      </c>
      <c r="X8">
        <f t="shared" si="1"/>
        <v>0.29126794258373206</v>
      </c>
      <c r="Y8">
        <f t="shared" si="1"/>
        <v>0.31698564593301437</v>
      </c>
      <c r="Z8">
        <f t="shared" si="1"/>
        <v>0.36722488038277512</v>
      </c>
      <c r="AA8">
        <f t="shared" si="1"/>
        <v>0.3986244019138756</v>
      </c>
      <c r="AB8">
        <f t="shared" si="1"/>
        <v>0.51644736842105265</v>
      </c>
      <c r="AC8">
        <f t="shared" si="1"/>
        <v>0.61752392344497609</v>
      </c>
      <c r="AD8">
        <f t="shared" si="1"/>
        <v>0.68421052631578949</v>
      </c>
      <c r="AE8">
        <f t="shared" si="1"/>
        <v>0.69377990430622016</v>
      </c>
      <c r="AF8">
        <v>0.1</v>
      </c>
      <c r="AG8">
        <f>AG4/(4.18*15)</f>
        <v>9.7607655502392351E-2</v>
      </c>
      <c r="AH8">
        <f t="shared" ref="AH8:AY8" si="2">AH4/(4.18*15)</f>
        <v>0.12743221690590112</v>
      </c>
      <c r="AI8">
        <f t="shared" si="2"/>
        <v>0.14529505582137162</v>
      </c>
      <c r="AJ8">
        <f t="shared" si="2"/>
        <v>0.19393939393939397</v>
      </c>
      <c r="AK8">
        <f t="shared" si="2"/>
        <v>0.20366826156299841</v>
      </c>
      <c r="AL8">
        <f t="shared" si="2"/>
        <v>0.25167464114832538</v>
      </c>
      <c r="AM8">
        <f t="shared" si="2"/>
        <v>0.30701754385964913</v>
      </c>
      <c r="AN8">
        <f t="shared" si="2"/>
        <v>0.35103668261563004</v>
      </c>
      <c r="AO8">
        <f t="shared" si="2"/>
        <v>0.3513556618819777</v>
      </c>
      <c r="AP8">
        <v>0.1</v>
      </c>
      <c r="AQ8">
        <v>0.1</v>
      </c>
      <c r="AR8">
        <f>AR4/(4.18*20)</f>
        <v>7.1291866028708142E-2</v>
      </c>
      <c r="AS8">
        <f t="shared" ref="AS8:AY8" si="3">AS4/(4.18*20)</f>
        <v>8.2894736842105271E-2</v>
      </c>
      <c r="AT8">
        <f t="shared" si="3"/>
        <v>0.11758373205741628</v>
      </c>
      <c r="AU8">
        <f t="shared" si="3"/>
        <v>0.1409090909090909</v>
      </c>
      <c r="AV8">
        <f t="shared" si="3"/>
        <v>0.17655502392344499</v>
      </c>
      <c r="AW8">
        <f t="shared" si="3"/>
        <v>0.21327751196172248</v>
      </c>
      <c r="AX8">
        <f t="shared" si="3"/>
        <v>0.26004784688995214</v>
      </c>
      <c r="AY8">
        <f t="shared" si="3"/>
        <v>0.26052631578947372</v>
      </c>
    </row>
    <row r="9" spans="1:51" x14ac:dyDescent="0.35">
      <c r="A9" t="s">
        <v>4</v>
      </c>
      <c r="B9">
        <v>1.4</v>
      </c>
      <c r="C9">
        <v>1.4</v>
      </c>
      <c r="D9">
        <v>1.4</v>
      </c>
      <c r="E9">
        <v>1.4</v>
      </c>
      <c r="F9">
        <v>1.4</v>
      </c>
      <c r="G9">
        <v>1.4</v>
      </c>
      <c r="H9">
        <v>1.4</v>
      </c>
      <c r="I9">
        <v>1.4</v>
      </c>
      <c r="J9">
        <v>1.4</v>
      </c>
      <c r="K9">
        <v>1.4</v>
      </c>
      <c r="L9">
        <v>1.4</v>
      </c>
      <c r="M9">
        <v>1.4</v>
      </c>
      <c r="N9">
        <v>1.4</v>
      </c>
      <c r="O9">
        <v>1.4</v>
      </c>
      <c r="P9">
        <v>1.4</v>
      </c>
      <c r="Q9">
        <v>1.4</v>
      </c>
      <c r="R9">
        <v>1.4</v>
      </c>
      <c r="S9">
        <v>1.4</v>
      </c>
      <c r="T9">
        <v>1.4</v>
      </c>
      <c r="U9">
        <v>1.4</v>
      </c>
      <c r="V9">
        <v>1.4</v>
      </c>
      <c r="W9">
        <v>1.4</v>
      </c>
      <c r="X9">
        <v>1.4</v>
      </c>
      <c r="Y9">
        <v>1.4</v>
      </c>
      <c r="Z9">
        <v>1.4</v>
      </c>
      <c r="AA9">
        <v>1.4</v>
      </c>
      <c r="AB9">
        <v>1.4</v>
      </c>
      <c r="AC9">
        <v>1.4</v>
      </c>
      <c r="AD9">
        <v>1.4</v>
      </c>
      <c r="AE9">
        <v>1.4</v>
      </c>
      <c r="AF9">
        <v>1.4</v>
      </c>
      <c r="AG9">
        <v>1.4</v>
      </c>
      <c r="AH9">
        <v>1.4</v>
      </c>
      <c r="AI9">
        <v>1.4</v>
      </c>
      <c r="AJ9">
        <v>1.4</v>
      </c>
      <c r="AK9">
        <v>1.4</v>
      </c>
      <c r="AL9">
        <v>1.4</v>
      </c>
      <c r="AM9">
        <v>1.4</v>
      </c>
      <c r="AN9">
        <v>1.4</v>
      </c>
      <c r="AO9">
        <v>1.4</v>
      </c>
      <c r="AP9">
        <v>1.4</v>
      </c>
      <c r="AQ9">
        <v>1.4</v>
      </c>
      <c r="AR9">
        <v>1.4</v>
      </c>
      <c r="AS9">
        <v>1.4</v>
      </c>
      <c r="AT9">
        <v>1.4</v>
      </c>
      <c r="AU9">
        <v>1.4</v>
      </c>
      <c r="AV9">
        <v>1.4</v>
      </c>
      <c r="AW9">
        <v>1.4</v>
      </c>
      <c r="AX9">
        <v>1.4</v>
      </c>
      <c r="AY9">
        <v>1.4</v>
      </c>
    </row>
    <row r="10" spans="1:51" x14ac:dyDescent="0.35">
      <c r="A10" t="s">
        <v>8</v>
      </c>
      <c r="B10">
        <f>B6/B4</f>
        <v>0.41441441441441446</v>
      </c>
      <c r="C10">
        <f t="shared" ref="C10:AY10" si="4">C6/C4</f>
        <v>0.36741573033707864</v>
      </c>
      <c r="D10">
        <f t="shared" si="4"/>
        <v>0.29029126213592232</v>
      </c>
      <c r="E10">
        <f t="shared" si="4"/>
        <v>0.25336927223719674</v>
      </c>
      <c r="F10">
        <f t="shared" si="4"/>
        <v>0.21069692058346839</v>
      </c>
      <c r="G10">
        <f t="shared" si="4"/>
        <v>0.22388059701492538</v>
      </c>
      <c r="H10">
        <f t="shared" si="4"/>
        <v>0.19476744186046513</v>
      </c>
      <c r="I10">
        <f t="shared" si="4"/>
        <v>0.17764030048608043</v>
      </c>
      <c r="J10">
        <f t="shared" si="4"/>
        <v>0.17223650385604111</v>
      </c>
      <c r="K10">
        <f t="shared" si="4"/>
        <v>0.17223650385604111</v>
      </c>
      <c r="L10">
        <f t="shared" si="4"/>
        <v>0.42622950819672129</v>
      </c>
      <c r="M10">
        <f t="shared" si="4"/>
        <v>0.37559241706161139</v>
      </c>
      <c r="N10">
        <f t="shared" si="4"/>
        <v>0.29429735234215887</v>
      </c>
      <c r="O10">
        <f t="shared" si="4"/>
        <v>0.25515947467166983</v>
      </c>
      <c r="P10">
        <f t="shared" si="4"/>
        <v>0.2181818181818182</v>
      </c>
      <c r="Q10">
        <f t="shared" si="4"/>
        <v>0.22837632776934749</v>
      </c>
      <c r="R10">
        <f t="shared" si="4"/>
        <v>0.19578313253012047</v>
      </c>
      <c r="S10">
        <f t="shared" si="4"/>
        <v>0.17793917385383567</v>
      </c>
      <c r="T10">
        <f t="shared" si="4"/>
        <v>0.19112050739957717</v>
      </c>
      <c r="U10">
        <f t="shared" si="4"/>
        <v>0.18646864686468645</v>
      </c>
      <c r="V10">
        <f t="shared" si="4"/>
        <v>0.38571428571428573</v>
      </c>
      <c r="W10">
        <f t="shared" si="4"/>
        <v>0.33051869722557303</v>
      </c>
      <c r="X10">
        <f t="shared" si="4"/>
        <v>0.25462012320328542</v>
      </c>
      <c r="Y10">
        <f t="shared" si="4"/>
        <v>0.21886792452830187</v>
      </c>
      <c r="Z10">
        <f t="shared" si="4"/>
        <v>0.24674267100977199</v>
      </c>
      <c r="AA10">
        <f t="shared" si="4"/>
        <v>0.26331582895723932</v>
      </c>
      <c r="AB10">
        <f t="shared" si="4"/>
        <v>0.22235089751013318</v>
      </c>
      <c r="AC10">
        <f t="shared" si="4"/>
        <v>0.24552058111380148</v>
      </c>
      <c r="AD10">
        <f t="shared" si="4"/>
        <v>0.26660839160839161</v>
      </c>
      <c r="AE10">
        <f t="shared" si="4"/>
        <v>0.26293103448275862</v>
      </c>
      <c r="AG10">
        <f t="shared" si="4"/>
        <v>0.43627450980392157</v>
      </c>
      <c r="AH10">
        <f t="shared" si="4"/>
        <v>0.35419274092615771</v>
      </c>
      <c r="AI10">
        <f t="shared" si="4"/>
        <v>0.32162458836443475</v>
      </c>
      <c r="AJ10">
        <f t="shared" si="4"/>
        <v>0.31661184210526316</v>
      </c>
      <c r="AK10">
        <f t="shared" si="4"/>
        <v>0.36021926389976505</v>
      </c>
      <c r="AL10">
        <f t="shared" si="4"/>
        <v>0.32002534854245879</v>
      </c>
      <c r="AM10">
        <f t="shared" si="4"/>
        <v>0.35376623376623373</v>
      </c>
      <c r="AN10">
        <f t="shared" si="4"/>
        <v>0.38346206269877325</v>
      </c>
      <c r="AO10">
        <f t="shared" si="4"/>
        <v>0.38129822968679072</v>
      </c>
      <c r="AP10" s="3"/>
      <c r="AQ10" s="3"/>
      <c r="AR10">
        <f t="shared" si="4"/>
        <v>0.52852348993288589</v>
      </c>
      <c r="AS10">
        <f t="shared" si="4"/>
        <v>0.49494949494949497</v>
      </c>
      <c r="AT10">
        <f t="shared" si="4"/>
        <v>0.46490335707019331</v>
      </c>
      <c r="AU10">
        <f t="shared" si="4"/>
        <v>0.45500848896434642</v>
      </c>
      <c r="AV10">
        <f t="shared" si="4"/>
        <v>0.3983739837398374</v>
      </c>
      <c r="AW10">
        <f t="shared" si="4"/>
        <v>0.44699943914750423</v>
      </c>
      <c r="AX10">
        <f t="shared" si="4"/>
        <v>0.43606255749770012</v>
      </c>
      <c r="AY10">
        <f t="shared" si="4"/>
        <v>0.43526170798898073</v>
      </c>
    </row>
    <row r="11" spans="1:51" x14ac:dyDescent="0.35">
      <c r="A11" t="s">
        <v>9</v>
      </c>
      <c r="B11">
        <v>0.2</v>
      </c>
      <c r="C11">
        <v>0.2</v>
      </c>
      <c r="D11">
        <v>0.2</v>
      </c>
      <c r="E11">
        <v>0.2</v>
      </c>
      <c r="F11">
        <v>0.2</v>
      </c>
      <c r="G11">
        <v>0.2</v>
      </c>
      <c r="H11">
        <v>0.2</v>
      </c>
      <c r="I11">
        <v>0.2</v>
      </c>
      <c r="J11">
        <v>0.2</v>
      </c>
      <c r="K11">
        <v>0.2</v>
      </c>
      <c r="L11">
        <v>0.2</v>
      </c>
      <c r="M11">
        <v>0.2</v>
      </c>
      <c r="N11">
        <v>0.2</v>
      </c>
      <c r="O11">
        <v>0.2</v>
      </c>
      <c r="P11">
        <v>0.2</v>
      </c>
      <c r="Q11">
        <v>0.2</v>
      </c>
      <c r="R11">
        <v>0.2</v>
      </c>
      <c r="S11">
        <v>0.2</v>
      </c>
      <c r="T11">
        <v>0.2</v>
      </c>
      <c r="U11">
        <v>0.2</v>
      </c>
      <c r="V11">
        <v>0.2</v>
      </c>
      <c r="W11">
        <v>0.2</v>
      </c>
      <c r="X11">
        <v>0.2</v>
      </c>
      <c r="Y11">
        <v>0.2</v>
      </c>
      <c r="Z11">
        <v>0.2</v>
      </c>
      <c r="AA11">
        <v>0.2</v>
      </c>
      <c r="AB11">
        <v>0.2</v>
      </c>
      <c r="AC11">
        <v>0.2</v>
      </c>
      <c r="AD11">
        <v>0.2</v>
      </c>
      <c r="AE11">
        <v>0.2</v>
      </c>
      <c r="AF11">
        <v>0.2</v>
      </c>
      <c r="AG11">
        <v>0.2</v>
      </c>
      <c r="AH11">
        <v>0.2</v>
      </c>
      <c r="AI11">
        <v>0.2</v>
      </c>
      <c r="AJ11">
        <v>0.2</v>
      </c>
      <c r="AK11">
        <v>0.2</v>
      </c>
      <c r="AL11">
        <v>0.2</v>
      </c>
      <c r="AM11">
        <v>0.2</v>
      </c>
      <c r="AN11">
        <v>0.2</v>
      </c>
      <c r="AO11">
        <v>0.2</v>
      </c>
      <c r="AP11">
        <v>0.2</v>
      </c>
      <c r="AQ11">
        <v>0.2</v>
      </c>
      <c r="AR11">
        <v>0.2</v>
      </c>
      <c r="AS11">
        <v>0.2</v>
      </c>
      <c r="AT11">
        <v>0.2</v>
      </c>
      <c r="AU11">
        <v>0.2</v>
      </c>
      <c r="AV11">
        <v>0.2</v>
      </c>
      <c r="AW11">
        <v>0.2</v>
      </c>
      <c r="AX11">
        <v>0.2</v>
      </c>
      <c r="AY11">
        <v>0.2</v>
      </c>
    </row>
    <row r="12" spans="1:51" x14ac:dyDescent="0.35">
      <c r="A12" t="s">
        <v>10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2025-02-22T21:51:54Z</dcterms:modified>
</cp:coreProperties>
</file>