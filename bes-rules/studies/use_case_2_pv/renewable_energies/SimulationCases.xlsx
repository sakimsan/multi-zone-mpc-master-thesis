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_git\bes-rules\studies\renewable_energies\"/>
    </mc:Choice>
  </mc:AlternateContent>
  <xr:revisionPtr revIDLastSave="0" documentId="13_ncr:1_{5F365076-0137-42AB-B119-FB3A94A36C0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imulationCases" sheetId="2" r:id="rId2"/>
    <sheet name="LatexTa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3" l="1"/>
  <c r="B3" i="3"/>
  <c r="C3" i="3"/>
  <c r="D3" i="3"/>
  <c r="E3" i="3"/>
  <c r="F3" i="3"/>
  <c r="G3" i="3"/>
  <c r="H3" i="3"/>
  <c r="I3" i="3"/>
  <c r="J3" i="3"/>
  <c r="K3" i="3"/>
  <c r="L3" i="3"/>
  <c r="M3" i="3"/>
  <c r="A4" i="3"/>
  <c r="B4" i="3"/>
  <c r="C4" i="3"/>
  <c r="D4" i="3"/>
  <c r="E4" i="3"/>
  <c r="F4" i="3"/>
  <c r="G4" i="3"/>
  <c r="H4" i="3"/>
  <c r="I4" i="3"/>
  <c r="J4" i="3"/>
  <c r="K4" i="3"/>
  <c r="L4" i="3"/>
  <c r="M4" i="3"/>
  <c r="M2" i="3"/>
  <c r="L2" i="3"/>
  <c r="J2" i="3"/>
  <c r="K2" i="3"/>
  <c r="I2" i="3"/>
  <c r="H2" i="3"/>
  <c r="G2" i="3"/>
  <c r="F2" i="3"/>
  <c r="E2" i="3"/>
  <c r="C2" i="3"/>
  <c r="D2" i="3"/>
  <c r="B2" i="3"/>
  <c r="A2" i="3"/>
</calcChain>
</file>

<file path=xl/sharedStrings.xml><?xml version="1.0" encoding="utf-8"?>
<sst xmlns="http://schemas.openxmlformats.org/spreadsheetml/2006/main" count="80" uniqueCount="63">
  <si>
    <t>building</t>
  </si>
  <si>
    <t>weather</t>
  </si>
  <si>
    <t>case</t>
  </si>
  <si>
    <t>own_consumption</t>
  </si>
  <si>
    <t>self_sufficiency_degree</t>
  </si>
  <si>
    <t>own_consumption_max</t>
  </si>
  <si>
    <t>own_consumption_min</t>
  </si>
  <si>
    <t>own_consumption_mean</t>
  </si>
  <si>
    <t>self_sufficiency_degree_max</t>
  </si>
  <si>
    <t>self_sufficiency_degree_min</t>
  </si>
  <si>
    <t>self_sufficiency_degree_mean</t>
  </si>
  <si>
    <t>1980_standard</t>
  </si>
  <si>
    <t>1960_adv_retrofit</t>
  </si>
  <si>
    <t>1994_retrofit</t>
  </si>
  <si>
    <t>1950_standard</t>
  </si>
  <si>
    <t>2009_adv_retrofit</t>
  </si>
  <si>
    <t>TRY2015_504312129522_Jahr</t>
  </si>
  <si>
    <t>TRY2015_495193085486_Jahr</t>
  </si>
  <si>
    <t>TRY2015_513981069711_Jahr</t>
  </si>
  <si>
    <t>TRY2015_474856110632_Somm</t>
  </si>
  <si>
    <t>TRY2015_504312129522_Wint</t>
  </si>
  <si>
    <t>TRY2015_517332106070_Somm</t>
  </si>
  <si>
    <t>North</t>
  </si>
  <si>
    <t>EastWest</t>
  </si>
  <si>
    <t>East</t>
  </si>
  <si>
    <t>SouthNorth</t>
  </si>
  <si>
    <t>mean</t>
  </si>
  <si>
    <t>pv_generation</t>
  </si>
  <si>
    <t>WEle_demand_dhw</t>
  </si>
  <si>
    <t>WEle_demand_bui</t>
  </si>
  <si>
    <t>WEle_demand_house</t>
  </si>
  <si>
    <t>WEle_demand</t>
  </si>
  <si>
    <t>W_pv_grid_feed_in</t>
  </si>
  <si>
    <t>W_pv_for_pro</t>
  </si>
  <si>
    <t>W_pv_for_dhw</t>
  </si>
  <si>
    <t>W_pv_for_bui</t>
  </si>
  <si>
    <t>solar_share_dhw</t>
  </si>
  <si>
    <t>solar_share_bui</t>
  </si>
  <si>
    <t>solar_share_house</t>
  </si>
  <si>
    <t>Q_bui</t>
  </si>
  <si>
    <t>Q_dhw</t>
  </si>
  <si>
    <t>SCOP_bui</t>
  </si>
  <si>
    <t>SCOP_dhw</t>
  </si>
  <si>
    <t>SCOP</t>
  </si>
  <si>
    <t>heat_demand_est_per_area</t>
  </si>
  <si>
    <t>heat_demand_per_area</t>
  </si>
  <si>
    <t>rood_area</t>
  </si>
  <si>
    <t>type</t>
  </si>
  <si>
    <t>1950-adv-retrofit</t>
  </si>
  <si>
    <t>GarmischPartenkirchen-TRY2045-warm</t>
  </si>
  <si>
    <t>max</t>
  </si>
  <si>
    <t>1994-retrofit</t>
  </si>
  <si>
    <t>HamburgFuhlsbuettel-TRY2015-average</t>
  </si>
  <si>
    <t>South</t>
  </si>
  <si>
    <t>Aroof</t>
  </si>
  <si>
    <t>SSD</t>
  </si>
  <si>
    <t>SCR</t>
  </si>
  <si>
    <t>Pgen</t>
  </si>
  <si>
    <t>Pfeed</t>
  </si>
  <si>
    <t>sDHW</t>
  </si>
  <si>
    <t>sBui</t>
  </si>
  <si>
    <t>sHou</t>
  </si>
  <si>
    <t>QPerA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</si>
</sst>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ill="1"/>
    <xf numFmtId="168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="160" zoomScaleNormal="160" workbookViewId="0">
      <selection activeCell="B6" sqref="B6"/>
    </sheetView>
  </sheetViews>
  <sheetFormatPr baseColWidth="10" defaultColWidth="9.140625" defaultRowHeight="15" x14ac:dyDescent="0.25"/>
  <cols>
    <col min="1" max="1" width="33" bestFit="1" customWidth="1"/>
    <col min="2" max="2" width="16.7109375" bestFit="1" customWidth="1"/>
    <col min="3" max="3" width="28.140625" bestFit="1" customWidth="1"/>
    <col min="4" max="4" width="11.28515625" bestFit="1" customWidth="1"/>
    <col min="5" max="5" width="17.5703125" bestFit="1" customWidth="1"/>
    <col min="6" max="6" width="22.425781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2" t="s">
        <v>11</v>
      </c>
      <c r="C2" s="2" t="s">
        <v>16</v>
      </c>
      <c r="D2" s="2" t="s">
        <v>22</v>
      </c>
      <c r="E2" s="2">
        <v>70.629932834008116</v>
      </c>
      <c r="F2" s="2">
        <v>22.004565278196981</v>
      </c>
    </row>
    <row r="3" spans="1:6" x14ac:dyDescent="0.25">
      <c r="A3" s="3" t="s">
        <v>6</v>
      </c>
      <c r="B3" s="4" t="s">
        <v>12</v>
      </c>
      <c r="C3" s="4" t="s">
        <v>17</v>
      </c>
      <c r="D3" s="4" t="s">
        <v>23</v>
      </c>
      <c r="E3" s="4">
        <v>9.728694731721486</v>
      </c>
      <c r="F3" s="4">
        <v>89.471329844185732</v>
      </c>
    </row>
    <row r="4" spans="1:6" x14ac:dyDescent="0.25">
      <c r="A4" s="1" t="s">
        <v>7</v>
      </c>
      <c r="B4" s="2" t="s">
        <v>13</v>
      </c>
      <c r="C4" s="2" t="s">
        <v>18</v>
      </c>
      <c r="D4" s="2" t="s">
        <v>24</v>
      </c>
      <c r="E4" s="2">
        <v>28.73847766864154</v>
      </c>
      <c r="F4" s="2">
        <v>55.878136827753217</v>
      </c>
    </row>
    <row r="5" spans="1:6" x14ac:dyDescent="0.25">
      <c r="A5" s="1" t="s">
        <v>8</v>
      </c>
      <c r="B5" s="2" t="s">
        <v>12</v>
      </c>
      <c r="C5" s="2" t="s">
        <v>19</v>
      </c>
      <c r="D5" s="2" t="s">
        <v>25</v>
      </c>
      <c r="E5" s="2">
        <v>16.264102246533248</v>
      </c>
      <c r="F5" s="2">
        <v>97.012812200074904</v>
      </c>
    </row>
    <row r="6" spans="1:6" x14ac:dyDescent="0.25">
      <c r="A6" s="1" t="s">
        <v>9</v>
      </c>
      <c r="B6" t="s">
        <v>14</v>
      </c>
      <c r="C6" t="s">
        <v>20</v>
      </c>
      <c r="D6" t="s">
        <v>22</v>
      </c>
      <c r="E6">
        <v>66.488370041788258</v>
      </c>
      <c r="F6">
        <v>18.194903414728259</v>
      </c>
    </row>
    <row r="7" spans="1:6" x14ac:dyDescent="0.25">
      <c r="A7" s="1" t="s">
        <v>10</v>
      </c>
      <c r="B7" t="s">
        <v>15</v>
      </c>
      <c r="C7" t="s">
        <v>21</v>
      </c>
      <c r="D7" t="s">
        <v>24</v>
      </c>
      <c r="E7">
        <v>31.92188125789253</v>
      </c>
      <c r="F7">
        <v>55.203612392653817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"/>
  <sheetViews>
    <sheetView topLeftCell="N1" zoomScale="160" zoomScaleNormal="160" workbookViewId="0">
      <selection sqref="A1:AA1048576"/>
    </sheetView>
  </sheetViews>
  <sheetFormatPr baseColWidth="10" defaultRowHeight="15" x14ac:dyDescent="0.25"/>
  <sheetData>
    <row r="1" spans="1:2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4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</row>
    <row r="2" spans="1:27" x14ac:dyDescent="0.25">
      <c r="A2" s="1">
        <v>10622</v>
      </c>
      <c r="B2" t="s">
        <v>48</v>
      </c>
      <c r="C2" t="s">
        <v>49</v>
      </c>
      <c r="D2" t="s">
        <v>25</v>
      </c>
      <c r="E2">
        <v>19.424447241844359</v>
      </c>
      <c r="F2">
        <v>21819.785496234668</v>
      </c>
      <c r="G2">
        <v>411.35328905221189</v>
      </c>
      <c r="H2">
        <v>1198.768192744729</v>
      </c>
      <c r="I2">
        <v>2799.9999999989841</v>
      </c>
      <c r="J2">
        <v>4410.1214817959244</v>
      </c>
      <c r="K2">
        <v>17581.412774234959</v>
      </c>
      <c r="L2">
        <v>2793.846829269401</v>
      </c>
      <c r="M2">
        <v>401.96462762010322</v>
      </c>
      <c r="N2">
        <v>1042.561265110206</v>
      </c>
      <c r="O2">
        <v>0.97717616053650402</v>
      </c>
      <c r="P2">
        <v>0.86969380020263332</v>
      </c>
      <c r="Q2">
        <v>0.99780243902514831</v>
      </c>
      <c r="R2">
        <v>96.105577578641373</v>
      </c>
      <c r="S2">
        <v>3823.05419921875</v>
      </c>
      <c r="T2">
        <v>2121.0555555555561</v>
      </c>
      <c r="U2">
        <v>3.1891521833469669</v>
      </c>
      <c r="V2">
        <v>5.1562868512431814</v>
      </c>
      <c r="W2">
        <v>1.3478335640662891</v>
      </c>
      <c r="X2">
        <v>55.279810898096549</v>
      </c>
      <c r="Y2">
        <v>34.441929722691441</v>
      </c>
      <c r="Z2">
        <v>125.43</v>
      </c>
      <c r="AA2" t="s">
        <v>50</v>
      </c>
    </row>
    <row r="3" spans="1:27" x14ac:dyDescent="0.25">
      <c r="A3" s="1">
        <v>10655</v>
      </c>
      <c r="B3" t="s">
        <v>48</v>
      </c>
      <c r="C3" t="s">
        <v>49</v>
      </c>
      <c r="D3" t="s">
        <v>23</v>
      </c>
      <c r="E3">
        <v>19.146995521245781</v>
      </c>
      <c r="F3">
        <v>22133.794963455999</v>
      </c>
      <c r="G3">
        <v>411.35328905221189</v>
      </c>
      <c r="H3">
        <v>1198.768192744729</v>
      </c>
      <c r="I3">
        <v>2799.9999999989841</v>
      </c>
      <c r="J3">
        <v>4410.1214817959244</v>
      </c>
      <c r="K3">
        <v>17895.838233121362</v>
      </c>
      <c r="L3">
        <v>2793.6661604528672</v>
      </c>
      <c r="M3">
        <v>401.70505386064588</v>
      </c>
      <c r="N3">
        <v>1042.5855160211311</v>
      </c>
      <c r="O3">
        <v>0.9765451366298874</v>
      </c>
      <c r="P3">
        <v>0.86971403006114278</v>
      </c>
      <c r="Q3">
        <v>0.99773791444781457</v>
      </c>
      <c r="R3">
        <v>96.096144920906568</v>
      </c>
      <c r="S3">
        <v>3823.05419921875</v>
      </c>
      <c r="T3">
        <v>2121.0555555555561</v>
      </c>
      <c r="U3">
        <v>3.1891521833469669</v>
      </c>
      <c r="V3">
        <v>5.1562868512431814</v>
      </c>
      <c r="W3">
        <v>1.3478335640662891</v>
      </c>
      <c r="X3">
        <v>55.279810898096549</v>
      </c>
      <c r="Y3">
        <v>34.441929722691441</v>
      </c>
      <c r="Z3">
        <v>125.43</v>
      </c>
      <c r="AA3" t="s">
        <v>50</v>
      </c>
    </row>
    <row r="4" spans="1:27" x14ac:dyDescent="0.25">
      <c r="A4" s="1">
        <v>12059</v>
      </c>
      <c r="B4" t="s">
        <v>51</v>
      </c>
      <c r="C4" t="s">
        <v>52</v>
      </c>
      <c r="D4" t="s">
        <v>53</v>
      </c>
      <c r="E4">
        <v>35.559414774118594</v>
      </c>
      <c r="F4">
        <v>11214.41058235733</v>
      </c>
      <c r="G4">
        <v>400.56008906332681</v>
      </c>
      <c r="H4">
        <v>3155.9094248364868</v>
      </c>
      <c r="I4">
        <v>2799.9999999989841</v>
      </c>
      <c r="J4">
        <v>6356.4695138987972</v>
      </c>
      <c r="K4">
        <v>7226.6318089042434</v>
      </c>
      <c r="L4">
        <v>2459.8687243071959</v>
      </c>
      <c r="M4">
        <v>284.18280342355189</v>
      </c>
      <c r="N4">
        <v>1243.7272457223439</v>
      </c>
      <c r="O4">
        <v>0.70946360154874022</v>
      </c>
      <c r="P4">
        <v>0.39409472145633062</v>
      </c>
      <c r="Q4">
        <v>0.87852454439574601</v>
      </c>
      <c r="R4">
        <v>62.735749219493258</v>
      </c>
      <c r="S4">
        <v>10554.68359375</v>
      </c>
      <c r="T4">
        <v>2121.0555555555561</v>
      </c>
      <c r="U4">
        <v>3.344419047861888</v>
      </c>
      <c r="V4">
        <v>5.2952243957091447</v>
      </c>
      <c r="W4">
        <v>1.994147713851109</v>
      </c>
      <c r="X4">
        <v>94.263438598571526</v>
      </c>
      <c r="Y4">
        <v>70.364557291666671</v>
      </c>
      <c r="Z4">
        <v>123.19499999999999</v>
      </c>
      <c r="AA4" t="s">
        <v>26</v>
      </c>
    </row>
    <row r="6" spans="1:27" x14ac:dyDescent="0.25">
      <c r="C6" s="5"/>
    </row>
    <row r="7" spans="1:27" x14ac:dyDescent="0.25">
      <c r="C7" s="5"/>
    </row>
    <row r="17" spans="1:1" x14ac:dyDescent="0.25">
      <c r="A17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0CA6-0DC4-4276-9D33-DDE3128C6914}">
  <dimension ref="A1:X17"/>
  <sheetViews>
    <sheetView tabSelected="1" workbookViewId="0">
      <selection activeCell="E1" sqref="E1"/>
    </sheetView>
  </sheetViews>
  <sheetFormatPr baseColWidth="10" defaultRowHeight="15" x14ac:dyDescent="0.25"/>
  <cols>
    <col min="5" max="6" width="11.5703125" bestFit="1" customWidth="1"/>
    <col min="7" max="8" width="12.5703125" bestFit="1" customWidth="1"/>
    <col min="9" max="13" width="11.5703125" bestFit="1" customWidth="1"/>
  </cols>
  <sheetData>
    <row r="1" spans="1:24" x14ac:dyDescent="0.25">
      <c r="A1" s="1" t="s">
        <v>47</v>
      </c>
      <c r="B1" s="1" t="s">
        <v>0</v>
      </c>
      <c r="C1" s="1" t="s">
        <v>1</v>
      </c>
      <c r="D1" s="1" t="s">
        <v>2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54</v>
      </c>
      <c r="S1" s="1"/>
      <c r="T1" s="1"/>
      <c r="U1" s="1"/>
      <c r="V1" s="1"/>
      <c r="W1" s="1"/>
      <c r="X1" s="1"/>
    </row>
    <row r="2" spans="1:24" x14ac:dyDescent="0.25">
      <c r="A2" t="str">
        <f>SimulationCases!AA2</f>
        <v>max</v>
      </c>
      <c r="B2" t="str">
        <f>SimulationCases!B2</f>
        <v>1950-adv-retrofit</v>
      </c>
      <c r="C2" t="str">
        <f>SimulationCases!C2</f>
        <v>GarmischPartenkirchen-TRY2045-warm</v>
      </c>
      <c r="D2" t="str">
        <f>SimulationCases!D2</f>
        <v>SouthNorth</v>
      </c>
      <c r="E2" s="6">
        <f>SimulationCases!R2</f>
        <v>96.105577578641373</v>
      </c>
      <c r="F2" s="6">
        <f>SimulationCases!E2</f>
        <v>19.424447241844359</v>
      </c>
      <c r="G2" s="6">
        <f>SimulationCases!F2</f>
        <v>21819.785496234668</v>
      </c>
      <c r="H2" s="6">
        <f>SimulationCases!K2</f>
        <v>17581.412774234959</v>
      </c>
      <c r="I2" s="6">
        <f>SimulationCases!O2*100</f>
        <v>97.717616053650403</v>
      </c>
      <c r="J2" s="6">
        <f>SimulationCases!P2*100</f>
        <v>86.96938002026333</v>
      </c>
      <c r="K2" s="6">
        <f>SimulationCases!Q2*100</f>
        <v>99.780243902514826</v>
      </c>
      <c r="L2" s="6">
        <f>SimulationCases!Y2</f>
        <v>34.441929722691441</v>
      </c>
      <c r="M2" s="6">
        <f>SimulationCases!Z2</f>
        <v>125.43</v>
      </c>
    </row>
    <row r="3" spans="1:24" x14ac:dyDescent="0.25">
      <c r="A3" t="str">
        <f>SimulationCases!AA3</f>
        <v>max</v>
      </c>
      <c r="B3" t="str">
        <f>SimulationCases!B3</f>
        <v>1950-adv-retrofit</v>
      </c>
      <c r="C3" t="str">
        <f>SimulationCases!C3</f>
        <v>GarmischPartenkirchen-TRY2045-warm</v>
      </c>
      <c r="D3" t="str">
        <f>SimulationCases!D3</f>
        <v>EastWest</v>
      </c>
      <c r="E3" s="6">
        <f>SimulationCases!R3</f>
        <v>96.096144920906568</v>
      </c>
      <c r="F3" s="6">
        <f>SimulationCases!E3</f>
        <v>19.146995521245781</v>
      </c>
      <c r="G3" s="6">
        <f>SimulationCases!F3</f>
        <v>22133.794963455999</v>
      </c>
      <c r="H3" s="6">
        <f>SimulationCases!K3</f>
        <v>17895.838233121362</v>
      </c>
      <c r="I3" s="6">
        <f>SimulationCases!O3*100</f>
        <v>97.654513662988734</v>
      </c>
      <c r="J3" s="6">
        <f>SimulationCases!P3*100</f>
        <v>86.971403006114272</v>
      </c>
      <c r="K3" s="6">
        <f>SimulationCases!Q3*100</f>
        <v>99.773791444781452</v>
      </c>
      <c r="L3" s="6">
        <f>SimulationCases!Y3</f>
        <v>34.441929722691441</v>
      </c>
      <c r="M3" s="6">
        <f>SimulationCases!Z3</f>
        <v>125.43</v>
      </c>
    </row>
    <row r="4" spans="1:24" x14ac:dyDescent="0.25">
      <c r="A4" t="str">
        <f>SimulationCases!AA4</f>
        <v>mean</v>
      </c>
      <c r="B4" t="str">
        <f>SimulationCases!B4</f>
        <v>1994-retrofit</v>
      </c>
      <c r="C4" t="str">
        <f>SimulationCases!C4</f>
        <v>HamburgFuhlsbuettel-TRY2015-average</v>
      </c>
      <c r="D4" t="str">
        <f>SimulationCases!D4</f>
        <v>South</v>
      </c>
      <c r="E4" s="6">
        <f>SimulationCases!R4</f>
        <v>62.735749219493258</v>
      </c>
      <c r="F4" s="6">
        <f>SimulationCases!E4</f>
        <v>35.559414774118594</v>
      </c>
      <c r="G4" s="6">
        <f>SimulationCases!F4</f>
        <v>11214.41058235733</v>
      </c>
      <c r="H4" s="6">
        <f>SimulationCases!K4</f>
        <v>7226.6318089042434</v>
      </c>
      <c r="I4" s="6">
        <f>SimulationCases!O4*100</f>
        <v>70.946360154874029</v>
      </c>
      <c r="J4" s="6">
        <f>SimulationCases!P4*100</f>
        <v>39.40947214563306</v>
      </c>
      <c r="K4" s="6">
        <f>SimulationCases!Q4*100</f>
        <v>87.852454439574601</v>
      </c>
      <c r="L4" s="6">
        <f>SimulationCases!Y4</f>
        <v>70.364557291666671</v>
      </c>
      <c r="M4" s="6">
        <f>SimulationCases!Z4</f>
        <v>123.19499999999999</v>
      </c>
    </row>
    <row r="6" spans="1:24" x14ac:dyDescent="0.25">
      <c r="C6" s="5"/>
    </row>
    <row r="7" spans="1:24" x14ac:dyDescent="0.25">
      <c r="C7" s="5"/>
    </row>
    <row r="17" spans="1:1" x14ac:dyDescent="0.25">
      <c r="A1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SimulationCases</vt:lpstr>
      <vt:lpstr>LatexTable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Wuellhorst, Fabian</cp:lastModifiedBy>
  <dcterms:created xsi:type="dcterms:W3CDTF">2024-01-26T13:29:20Z</dcterms:created>
  <dcterms:modified xsi:type="dcterms:W3CDTF">2024-02-09T13:44:45Z</dcterms:modified>
</cp:coreProperties>
</file>